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h\Desktop\대지폴더\대지ERP_SVN대지\Daejist\AccAdm\bin\Debug\tempDoct\0\"/>
    </mc:Choice>
  </mc:AlternateContent>
  <xr:revisionPtr revIDLastSave="0" documentId="8_{575F9CF1-6325-41F4-9EBB-F43E9A2D6F97}" xr6:coauthVersionLast="47" xr6:coauthVersionMax="47" xr10:uidLastSave="{00000000-0000-0000-0000-000000000000}"/>
  <bookViews>
    <workbookView xWindow="6360" yWindow="1785" windowWidth="21600" windowHeight="11295" xr2:uid="{00000000-000D-0000-FFFF-FFFF00000000}"/>
  </bookViews>
  <sheets>
    <sheet name="지출결의서" sheetId="1" r:id="rId1"/>
    <sheet name="전자세금계산서" sheetId="2" r:id="rId2"/>
  </sheets>
  <definedNames>
    <definedName name="_xlnm.Print_Area" localSheetId="0">지출결의서!$B$2:$AF$26</definedName>
  </definedNames>
  <calcPr calcId="191029"/>
</workbook>
</file>

<file path=xl/calcChain.xml><?xml version="1.0" encoding="utf-8"?>
<calcChain xmlns="http://schemas.openxmlformats.org/spreadsheetml/2006/main">
  <c r="S18" i="1" l="1"/>
  <c r="S19" i="1"/>
  <c r="S20" i="1"/>
  <c r="S21" i="1"/>
  <c r="S22" i="1"/>
  <c r="X22" i="1" s="1"/>
  <c r="AB22" i="1" s="1"/>
  <c r="S23" i="1"/>
  <c r="S17" i="1"/>
  <c r="S24" i="1" l="1"/>
  <c r="X24" i="1" s="1"/>
  <c r="AB24" i="1" s="1"/>
  <c r="X21" i="1"/>
  <c r="AB21" i="1" s="1"/>
  <c r="X20" i="1"/>
  <c r="AB20" i="1" s="1"/>
  <c r="X23" i="1"/>
  <c r="AB23" i="1" s="1"/>
  <c r="X19" i="1"/>
  <c r="AB19" i="1" s="1"/>
  <c r="X18" i="1"/>
  <c r="AB18" i="1" s="1"/>
  <c r="X17" i="1"/>
  <c r="AB17" i="1" s="1"/>
</calcChain>
</file>

<file path=xl/sharedStrings.xml><?xml version="1.0" encoding="utf-8"?>
<sst xmlns="http://schemas.openxmlformats.org/spreadsheetml/2006/main" count="24" uniqueCount="24">
  <si>
    <t>담 당 자</t>
    <phoneticPr fontId="1" type="noConversion"/>
  </si>
  <si>
    <t>문서번호</t>
    <phoneticPr fontId="1" type="noConversion"/>
  </si>
  <si>
    <t>협조공람</t>
    <phoneticPr fontId="1" type="noConversion"/>
  </si>
  <si>
    <t xml:space="preserve">특이사항: </t>
    <phoneticPr fontId="1" type="noConversion"/>
  </si>
  <si>
    <t>결의일자</t>
    <phoneticPr fontId="1" type="noConversion"/>
  </si>
  <si>
    <t>내    용</t>
    <phoneticPr fontId="1" type="noConversion"/>
  </si>
  <si>
    <t>거래처명</t>
    <phoneticPr fontId="1" type="noConversion"/>
  </si>
  <si>
    <t>날    짜</t>
    <phoneticPr fontId="1" type="noConversion"/>
  </si>
  <si>
    <t>품    명</t>
    <phoneticPr fontId="1" type="noConversion"/>
  </si>
  <si>
    <t>수량</t>
    <phoneticPr fontId="1" type="noConversion"/>
  </si>
  <si>
    <t>단  가</t>
    <phoneticPr fontId="1" type="noConversion"/>
  </si>
  <si>
    <t>금  액</t>
    <phoneticPr fontId="1" type="noConversion"/>
  </si>
  <si>
    <t>세  액</t>
    <phoneticPr fontId="1" type="noConversion"/>
  </si>
  <si>
    <t>비  고</t>
    <phoneticPr fontId="1" type="noConversion"/>
  </si>
  <si>
    <t>결제일자</t>
    <phoneticPr fontId="1" type="noConversion"/>
  </si>
  <si>
    <t>합    계</t>
    <phoneticPr fontId="1" type="noConversion"/>
  </si>
  <si>
    <t>지 출 결 의 서</t>
    <phoneticPr fontId="1" type="noConversion"/>
  </si>
  <si>
    <t>제    목</t>
    <phoneticPr fontId="1" type="noConversion"/>
  </si>
  <si>
    <t xml:space="preserve"> 첨부자료: 전자세금계산서 사본 1부</t>
    <phoneticPr fontId="1" type="noConversion"/>
  </si>
  <si>
    <t>㈜퀘스타시스템</t>
    <phoneticPr fontId="1" type="noConversion"/>
  </si>
  <si>
    <t>1월분 방화벽 임대료</t>
    <phoneticPr fontId="1" type="noConversion"/>
  </si>
  <si>
    <t xml:space="preserve"> 1월분 방화벽 임대료를 아래와 같이 지출결의 하오니 재가하여 주시기 바랍니다.</t>
    <phoneticPr fontId="1" type="noConversion"/>
  </si>
  <si>
    <t>관리자</t>
    <phoneticPr fontId="1" type="noConversion"/>
  </si>
  <si>
    <t>경영 제2023-10-006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</si>
</sst>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_);_(* \(#,##0\);_(* &quot;-&quot;_);_(@_)"/>
    <numFmt numFmtId="177" formatCode="yyyy&quot;년&quot;\ m&quot;월&quot;\ d&quot;일&quot;;@"/>
    <numFmt numFmtId="178" formatCode="mm&quot;월&quot;\ dd&quot;일&quot;"/>
    <numFmt numFmtId="179" formatCode="#,##0_);[Red]\(#,##0\)"/>
    <numFmt numFmtId="180" formatCode="#,###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0"/>
      <color theme="1"/>
      <name val="굴림체"/>
      <family val="3"/>
      <charset val="129"/>
    </font>
    <font>
      <sz val="22"/>
      <color theme="1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30"/>
      <color theme="1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176" fontId="6" fillId="0" borderId="0" applyFont="0" applyFill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14" fontId="0" fillId="0" borderId="0" xfId="0" applyNumberFormat="1">
      <alignment vertical="center"/>
    </xf>
    <xf numFmtId="180" fontId="4" fillId="0" borderId="2" xfId="0" applyNumberFormat="1" applyFont="1" applyBorder="1" applyAlignment="1">
      <alignment horizontal="right" vertical="center"/>
    </xf>
    <xf numFmtId="180" fontId="4" fillId="0" borderId="17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left" vertical="center" indent="1"/>
    </xf>
    <xf numFmtId="0" fontId="4" fillId="0" borderId="2" xfId="0" applyFont="1" applyBorder="1" applyAlignment="1">
      <alignment horizontal="center" vertical="center"/>
    </xf>
    <xf numFmtId="179" fontId="4" fillId="0" borderId="2" xfId="0" applyNumberFormat="1" applyFont="1" applyBorder="1" applyAlignment="1">
      <alignment horizontal="right" vertical="center"/>
    </xf>
    <xf numFmtId="179" fontId="4" fillId="0" borderId="2" xfId="1" applyNumberFormat="1" applyFont="1" applyBorder="1" applyAlignment="1">
      <alignment horizontal="right" vertical="center"/>
    </xf>
    <xf numFmtId="177" fontId="4" fillId="0" borderId="2" xfId="0" applyNumberFormat="1" applyFont="1" applyBorder="1" applyAlignment="1">
      <alignment horizontal="left" vertical="center" indent="1"/>
    </xf>
    <xf numFmtId="177" fontId="4" fillId="0" borderId="17" xfId="0" applyNumberFormat="1" applyFont="1" applyBorder="1" applyAlignment="1">
      <alignment horizontal="left" vertical="center" indent="1"/>
    </xf>
    <xf numFmtId="0" fontId="4" fillId="0" borderId="0" xfId="0" applyFont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 indent="1"/>
    </xf>
    <xf numFmtId="0" fontId="3" fillId="0" borderId="23" xfId="0" applyFont="1" applyBorder="1" applyAlignment="1">
      <alignment horizontal="left" vertical="center" indent="1"/>
    </xf>
    <xf numFmtId="0" fontId="3" fillId="0" borderId="24" xfId="0" applyFont="1" applyBorder="1" applyAlignment="1">
      <alignment horizontal="left" vertical="center" indent="1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4" fillId="0" borderId="17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4" fillId="0" borderId="21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center" indent="1"/>
    </xf>
    <xf numFmtId="0" fontId="4" fillId="0" borderId="10" xfId="0" applyFont="1" applyBorder="1" applyAlignment="1">
      <alignment horizontal="left" vertical="center" indent="1"/>
    </xf>
    <xf numFmtId="0" fontId="4" fillId="0" borderId="18" xfId="0" applyFont="1" applyBorder="1" applyAlignment="1">
      <alignment horizontal="left" vertical="center" indent="1"/>
    </xf>
    <xf numFmtId="0" fontId="4" fillId="2" borderId="2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left" vertical="center" indent="1"/>
    </xf>
    <xf numFmtId="0" fontId="4" fillId="2" borderId="16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4" fontId="4" fillId="0" borderId="8" xfId="0" applyNumberFormat="1" applyFont="1" applyBorder="1" applyAlignment="1">
      <alignment horizontal="left" vertical="center" indent="1"/>
    </xf>
    <xf numFmtId="0" fontId="4" fillId="0" borderId="15" xfId="0" applyFont="1" applyBorder="1" applyAlignment="1">
      <alignment horizontal="left" vertical="center" indent="1"/>
    </xf>
    <xf numFmtId="0" fontId="4" fillId="0" borderId="14" xfId="0" applyFont="1" applyBorder="1" applyAlignment="1">
      <alignment horizontal="left" vertical="center" indent="1"/>
    </xf>
    <xf numFmtId="0" fontId="4" fillId="0" borderId="2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2</xdr:row>
      <xdr:rowOff>9527</xdr:rowOff>
    </xdr:from>
    <xdr:to>
      <xdr:col>1</xdr:col>
      <xdr:colOff>958125</xdr:colOff>
      <xdr:row>4</xdr:row>
      <xdr:rowOff>7608</xdr:rowOff>
    </xdr:to>
    <xdr:pic>
      <xdr:nvPicPr>
        <xdr:cNvPr id="26" name="그림 25" descr="(주)대지에스텍-큰로고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3375" y="381002"/>
          <a:ext cx="720000" cy="493381"/>
        </a:xfrm>
        <a:prstGeom prst="rect">
          <a:avLst/>
        </a:prstGeom>
      </xdr:spPr>
    </xdr:pic>
    <xdr:clientData/>
  </xdr:twoCellAnchor>
  <xdr:twoCellAnchor>
    <xdr:from>
      <xdr:col>5</xdr:col>
      <xdr:colOff>76200</xdr:colOff>
      <xdr:row>17</xdr:row>
      <xdr:rowOff>133350</xdr:rowOff>
    </xdr:from>
    <xdr:to>
      <xdr:col>29</xdr:col>
      <xdr:colOff>152400</xdr:colOff>
      <xdr:row>19</xdr:row>
      <xdr:rowOff>95250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2038350" y="4057650"/>
          <a:ext cx="4781550" cy="457200"/>
          <a:chOff x="733425" y="5867400"/>
          <a:chExt cx="4581525" cy="457200"/>
        </a:xfrm>
      </xdr:grpSpPr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CxnSpPr/>
        </xdr:nvCxnSpPr>
        <xdr:spPr>
          <a:xfrm>
            <a:off x="733425" y="5867400"/>
            <a:ext cx="458152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 flipV="1">
            <a:off x="3962400" y="5870513"/>
            <a:ext cx="1345941" cy="454087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/>
        </xdr:nvCxnSpPr>
        <xdr:spPr>
          <a:xfrm>
            <a:off x="4172727" y="6021160"/>
            <a:ext cx="652171" cy="235987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84857</xdr:colOff>
      <xdr:row>23</xdr:row>
      <xdr:rowOff>123207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942857" cy="49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H26"/>
  <sheetViews>
    <sheetView showGridLines="0" tabSelected="1" zoomScaleNormal="100" workbookViewId="0">
      <selection activeCell="C2" sqref="C2:AF5"/>
    </sheetView>
  </sheetViews>
  <sheetFormatPr defaultRowHeight="13.5" x14ac:dyDescent="0.3"/>
  <cols>
    <col min="1" max="1" width="1.25" style="1" customWidth="1"/>
    <col min="2" max="2" width="16.625" style="1" customWidth="1"/>
    <col min="3" max="19" width="2.625" style="1" customWidth="1"/>
    <col min="20" max="20" width="3.625" style="1" customWidth="1"/>
    <col min="21" max="32" width="2.375" style="1" customWidth="1"/>
    <col min="33" max="33" width="9" style="1"/>
    <col min="34" max="34" width="14.625" style="1" customWidth="1"/>
    <col min="35" max="16384" width="9" style="1"/>
  </cols>
  <sheetData>
    <row r="1" spans="2:34" ht="6" customHeight="1" thickBot="1" x14ac:dyDescent="0.35"/>
    <row r="2" spans="2:34" s="2" customFormat="1" ht="15" customHeight="1" x14ac:dyDescent="0.3">
      <c r="B2" s="49"/>
      <c r="C2" s="28" t="s">
        <v>16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30"/>
    </row>
    <row r="3" spans="2:34" s="2" customFormat="1" ht="20.100000000000001" customHeight="1" x14ac:dyDescent="0.3">
      <c r="B3" s="50"/>
      <c r="C3" s="31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3"/>
    </row>
    <row r="4" spans="2:34" s="2" customFormat="1" ht="20.100000000000001" customHeight="1" x14ac:dyDescent="0.3">
      <c r="B4" s="50"/>
      <c r="C4" s="31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3"/>
    </row>
    <row r="5" spans="2:34" s="2" customFormat="1" ht="15" customHeight="1" x14ac:dyDescent="0.3">
      <c r="B5" s="51"/>
      <c r="C5" s="34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6"/>
    </row>
    <row r="6" spans="2:34" ht="20.100000000000001" customHeight="1" x14ac:dyDescent="0.3">
      <c r="B6" s="5" t="s">
        <v>1</v>
      </c>
      <c r="C6" s="52" t="s">
        <v>23</v>
      </c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4"/>
      <c r="T6" s="46" t="s">
        <v>2</v>
      </c>
      <c r="U6" s="46"/>
      <c r="V6" s="46"/>
      <c r="W6" s="46"/>
      <c r="X6" s="12"/>
      <c r="Y6" s="12"/>
      <c r="Z6" s="12"/>
      <c r="AA6" s="12"/>
      <c r="AB6" s="12"/>
      <c r="AC6" s="12"/>
      <c r="AD6" s="12"/>
      <c r="AE6" s="12"/>
      <c r="AF6" s="48"/>
    </row>
    <row r="7" spans="2:34" ht="20.100000000000001" customHeight="1" x14ac:dyDescent="0.3">
      <c r="B7" s="6" t="s">
        <v>0</v>
      </c>
      <c r="C7" s="43" t="s">
        <v>22</v>
      </c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5"/>
      <c r="T7" s="47" t="s">
        <v>4</v>
      </c>
      <c r="U7" s="47"/>
      <c r="V7" s="47"/>
      <c r="W7" s="47"/>
      <c r="X7" s="16">
        <v>45216</v>
      </c>
      <c r="Y7" s="16"/>
      <c r="Z7" s="16"/>
      <c r="AA7" s="16"/>
      <c r="AB7" s="16"/>
      <c r="AC7" s="16"/>
      <c r="AD7" s="16"/>
      <c r="AE7" s="16"/>
      <c r="AF7" s="17"/>
    </row>
    <row r="8" spans="2:34" ht="20.100000000000001" customHeight="1" thickBot="1" x14ac:dyDescent="0.35">
      <c r="B8" s="4" t="s">
        <v>17</v>
      </c>
      <c r="C8" s="20">
        <v>66666666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2"/>
      <c r="AH8" s="3"/>
    </row>
    <row r="9" spans="2:34" ht="20.100000000000001" customHeight="1" thickTop="1" x14ac:dyDescent="0.3">
      <c r="B9" s="55" t="s">
        <v>5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4"/>
      <c r="AH9" s="3"/>
    </row>
    <row r="10" spans="2:34" ht="20.100000000000001" customHeight="1" x14ac:dyDescent="0.3">
      <c r="B10" s="56"/>
      <c r="C10" s="18" t="s">
        <v>21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9"/>
      <c r="AH10" s="3"/>
    </row>
    <row r="11" spans="2:34" ht="20.100000000000001" customHeight="1" x14ac:dyDescent="0.3">
      <c r="B11" s="56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6"/>
      <c r="AH11" s="3"/>
    </row>
    <row r="12" spans="2:34" ht="20.100000000000001" customHeight="1" x14ac:dyDescent="0.3">
      <c r="B12" s="56"/>
      <c r="C12" s="25" t="s">
        <v>18</v>
      </c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6"/>
      <c r="AH12" s="3"/>
    </row>
    <row r="13" spans="2:34" ht="20.100000000000001" customHeight="1" x14ac:dyDescent="0.3">
      <c r="B13" s="56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6"/>
      <c r="AH13" s="3"/>
    </row>
    <row r="14" spans="2:34" ht="20.100000000000001" customHeight="1" x14ac:dyDescent="0.3">
      <c r="B14" s="57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6"/>
      <c r="AH14" s="3"/>
    </row>
    <row r="15" spans="2:34" ht="20.100000000000001" customHeight="1" x14ac:dyDescent="0.3">
      <c r="B15" s="7" t="s">
        <v>6</v>
      </c>
      <c r="C15" s="13" t="s">
        <v>19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 t="s">
        <v>14</v>
      </c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27"/>
    </row>
    <row r="16" spans="2:34" ht="20.100000000000001" customHeight="1" x14ac:dyDescent="0.3">
      <c r="B16" s="7" t="s">
        <v>7</v>
      </c>
      <c r="C16" s="13" t="s">
        <v>8</v>
      </c>
      <c r="D16" s="13"/>
      <c r="E16" s="13"/>
      <c r="F16" s="13"/>
      <c r="G16" s="13"/>
      <c r="H16" s="13"/>
      <c r="I16" s="13"/>
      <c r="J16" s="13"/>
      <c r="K16" s="13"/>
      <c r="L16" s="13" t="s">
        <v>9</v>
      </c>
      <c r="M16" s="13"/>
      <c r="N16" s="13" t="s">
        <v>10</v>
      </c>
      <c r="O16" s="13"/>
      <c r="P16" s="13"/>
      <c r="Q16" s="13"/>
      <c r="R16" s="13"/>
      <c r="S16" s="13" t="s">
        <v>11</v>
      </c>
      <c r="T16" s="13"/>
      <c r="U16" s="13"/>
      <c r="V16" s="13"/>
      <c r="W16" s="13"/>
      <c r="X16" s="13" t="s">
        <v>12</v>
      </c>
      <c r="Y16" s="13"/>
      <c r="Z16" s="13"/>
      <c r="AA16" s="13"/>
      <c r="AB16" s="13" t="s">
        <v>13</v>
      </c>
      <c r="AC16" s="13"/>
      <c r="AD16" s="13"/>
      <c r="AE16" s="13"/>
      <c r="AF16" s="27"/>
    </row>
    <row r="17" spans="2:32" ht="20.100000000000001" customHeight="1" x14ac:dyDescent="0.3">
      <c r="B17" s="8">
        <v>44957</v>
      </c>
      <c r="C17" s="12" t="s">
        <v>20</v>
      </c>
      <c r="D17" s="12"/>
      <c r="E17" s="12"/>
      <c r="F17" s="12"/>
      <c r="G17" s="12"/>
      <c r="H17" s="12"/>
      <c r="I17" s="12"/>
      <c r="J17" s="12"/>
      <c r="K17" s="12"/>
      <c r="L17" s="13">
        <v>1</v>
      </c>
      <c r="M17" s="13"/>
      <c r="N17" s="15">
        <v>150000</v>
      </c>
      <c r="O17" s="15"/>
      <c r="P17" s="15"/>
      <c r="Q17" s="15"/>
      <c r="R17" s="15"/>
      <c r="S17" s="10">
        <f>L17*N17</f>
        <v>150000</v>
      </c>
      <c r="T17" s="10"/>
      <c r="U17" s="10"/>
      <c r="V17" s="10"/>
      <c r="W17" s="10"/>
      <c r="X17" s="10">
        <f>S17*0.1</f>
        <v>15000</v>
      </c>
      <c r="Y17" s="10"/>
      <c r="Z17" s="10"/>
      <c r="AA17" s="10"/>
      <c r="AB17" s="10">
        <f>S17+X17</f>
        <v>165000</v>
      </c>
      <c r="AC17" s="10"/>
      <c r="AD17" s="10"/>
      <c r="AE17" s="10"/>
      <c r="AF17" s="11"/>
    </row>
    <row r="18" spans="2:32" ht="20.100000000000001" customHeight="1" x14ac:dyDescent="0.3">
      <c r="B18" s="8"/>
      <c r="C18" s="12"/>
      <c r="D18" s="12"/>
      <c r="E18" s="12"/>
      <c r="F18" s="12"/>
      <c r="G18" s="12"/>
      <c r="H18" s="12"/>
      <c r="I18" s="12"/>
      <c r="J18" s="12"/>
      <c r="K18" s="12"/>
      <c r="L18" s="13"/>
      <c r="M18" s="13"/>
      <c r="N18" s="15"/>
      <c r="O18" s="15"/>
      <c r="P18" s="15"/>
      <c r="Q18" s="15"/>
      <c r="R18" s="15"/>
      <c r="S18" s="10">
        <f t="shared" ref="S18:S23" si="0">L18*N18</f>
        <v>0</v>
      </c>
      <c r="T18" s="10"/>
      <c r="U18" s="10"/>
      <c r="V18" s="10"/>
      <c r="W18" s="10"/>
      <c r="X18" s="10">
        <f t="shared" ref="X18:X23" si="1">S18*0.1</f>
        <v>0</v>
      </c>
      <c r="Y18" s="10"/>
      <c r="Z18" s="10"/>
      <c r="AA18" s="10"/>
      <c r="AB18" s="10">
        <f t="shared" ref="AB18:AB23" si="2">S18+X18</f>
        <v>0</v>
      </c>
      <c r="AC18" s="10"/>
      <c r="AD18" s="10"/>
      <c r="AE18" s="10"/>
      <c r="AF18" s="11"/>
    </row>
    <row r="19" spans="2:32" ht="20.100000000000001" customHeight="1" x14ac:dyDescent="0.3">
      <c r="B19" s="7"/>
      <c r="C19" s="12"/>
      <c r="D19" s="12"/>
      <c r="E19" s="12"/>
      <c r="F19" s="12"/>
      <c r="G19" s="12"/>
      <c r="H19" s="12"/>
      <c r="I19" s="12"/>
      <c r="J19" s="12"/>
      <c r="K19" s="12"/>
      <c r="L19" s="13"/>
      <c r="M19" s="13"/>
      <c r="N19" s="14"/>
      <c r="O19" s="14"/>
      <c r="P19" s="14"/>
      <c r="Q19" s="14"/>
      <c r="R19" s="14"/>
      <c r="S19" s="10">
        <f t="shared" si="0"/>
        <v>0</v>
      </c>
      <c r="T19" s="10"/>
      <c r="U19" s="10"/>
      <c r="V19" s="10"/>
      <c r="W19" s="10"/>
      <c r="X19" s="10">
        <f t="shared" si="1"/>
        <v>0</v>
      </c>
      <c r="Y19" s="10"/>
      <c r="Z19" s="10"/>
      <c r="AA19" s="10"/>
      <c r="AB19" s="10">
        <f t="shared" si="2"/>
        <v>0</v>
      </c>
      <c r="AC19" s="10"/>
      <c r="AD19" s="10"/>
      <c r="AE19" s="10"/>
      <c r="AF19" s="11"/>
    </row>
    <row r="20" spans="2:32" ht="20.100000000000001" customHeight="1" x14ac:dyDescent="0.3">
      <c r="B20" s="7"/>
      <c r="C20" s="12"/>
      <c r="D20" s="12"/>
      <c r="E20" s="12"/>
      <c r="F20" s="12"/>
      <c r="G20" s="12"/>
      <c r="H20" s="12"/>
      <c r="I20" s="12"/>
      <c r="J20" s="12"/>
      <c r="K20" s="12"/>
      <c r="L20" s="13"/>
      <c r="M20" s="13"/>
      <c r="N20" s="14"/>
      <c r="O20" s="14"/>
      <c r="P20" s="14"/>
      <c r="Q20" s="14"/>
      <c r="R20" s="14"/>
      <c r="S20" s="10">
        <f t="shared" si="0"/>
        <v>0</v>
      </c>
      <c r="T20" s="10"/>
      <c r="U20" s="10"/>
      <c r="V20" s="10"/>
      <c r="W20" s="10"/>
      <c r="X20" s="10">
        <f t="shared" si="1"/>
        <v>0</v>
      </c>
      <c r="Y20" s="10"/>
      <c r="Z20" s="10"/>
      <c r="AA20" s="10"/>
      <c r="AB20" s="10">
        <f t="shared" si="2"/>
        <v>0</v>
      </c>
      <c r="AC20" s="10"/>
      <c r="AD20" s="10"/>
      <c r="AE20" s="10"/>
      <c r="AF20" s="11"/>
    </row>
    <row r="21" spans="2:32" ht="20.100000000000001" customHeight="1" x14ac:dyDescent="0.3">
      <c r="B21" s="7"/>
      <c r="C21" s="12"/>
      <c r="D21" s="12"/>
      <c r="E21" s="12"/>
      <c r="F21" s="12"/>
      <c r="G21" s="12"/>
      <c r="H21" s="12"/>
      <c r="I21" s="12"/>
      <c r="J21" s="12"/>
      <c r="K21" s="12"/>
      <c r="L21" s="13"/>
      <c r="M21" s="13"/>
      <c r="N21" s="14"/>
      <c r="O21" s="14"/>
      <c r="P21" s="14"/>
      <c r="Q21" s="14"/>
      <c r="R21" s="14"/>
      <c r="S21" s="10">
        <f t="shared" si="0"/>
        <v>0</v>
      </c>
      <c r="T21" s="10"/>
      <c r="U21" s="10"/>
      <c r="V21" s="10"/>
      <c r="W21" s="10"/>
      <c r="X21" s="10">
        <f t="shared" si="1"/>
        <v>0</v>
      </c>
      <c r="Y21" s="10"/>
      <c r="Z21" s="10"/>
      <c r="AA21" s="10"/>
      <c r="AB21" s="10">
        <f t="shared" si="2"/>
        <v>0</v>
      </c>
      <c r="AC21" s="10"/>
      <c r="AD21" s="10"/>
      <c r="AE21" s="10"/>
      <c r="AF21" s="11"/>
    </row>
    <row r="22" spans="2:32" ht="20.100000000000001" customHeight="1" x14ac:dyDescent="0.3">
      <c r="B22" s="7"/>
      <c r="C22" s="12"/>
      <c r="D22" s="12"/>
      <c r="E22" s="12"/>
      <c r="F22" s="12"/>
      <c r="G22" s="12"/>
      <c r="H22" s="12"/>
      <c r="I22" s="12"/>
      <c r="J22" s="12"/>
      <c r="K22" s="12"/>
      <c r="L22" s="13"/>
      <c r="M22" s="13"/>
      <c r="N22" s="14"/>
      <c r="O22" s="14"/>
      <c r="P22" s="14"/>
      <c r="Q22" s="14"/>
      <c r="R22" s="14"/>
      <c r="S22" s="10">
        <f t="shared" si="0"/>
        <v>0</v>
      </c>
      <c r="T22" s="10"/>
      <c r="U22" s="10"/>
      <c r="V22" s="10"/>
      <c r="W22" s="10"/>
      <c r="X22" s="10">
        <f t="shared" si="1"/>
        <v>0</v>
      </c>
      <c r="Y22" s="10"/>
      <c r="Z22" s="10"/>
      <c r="AA22" s="10"/>
      <c r="AB22" s="10">
        <f t="shared" si="2"/>
        <v>0</v>
      </c>
      <c r="AC22" s="10"/>
      <c r="AD22" s="10"/>
      <c r="AE22" s="10"/>
      <c r="AF22" s="11"/>
    </row>
    <row r="23" spans="2:32" ht="20.100000000000001" customHeight="1" x14ac:dyDescent="0.3">
      <c r="B23" s="7"/>
      <c r="C23" s="12"/>
      <c r="D23" s="12"/>
      <c r="E23" s="12"/>
      <c r="F23" s="12"/>
      <c r="G23" s="12"/>
      <c r="H23" s="12"/>
      <c r="I23" s="12"/>
      <c r="J23" s="12"/>
      <c r="K23" s="12"/>
      <c r="L23" s="13"/>
      <c r="M23" s="13"/>
      <c r="N23" s="14"/>
      <c r="O23" s="14"/>
      <c r="P23" s="14"/>
      <c r="Q23" s="14"/>
      <c r="R23" s="14"/>
      <c r="S23" s="10">
        <f t="shared" si="0"/>
        <v>0</v>
      </c>
      <c r="T23" s="10"/>
      <c r="U23" s="10"/>
      <c r="V23" s="10"/>
      <c r="W23" s="10"/>
      <c r="X23" s="10">
        <f t="shared" si="1"/>
        <v>0</v>
      </c>
      <c r="Y23" s="10"/>
      <c r="Z23" s="10"/>
      <c r="AA23" s="10"/>
      <c r="AB23" s="10">
        <f t="shared" si="2"/>
        <v>0</v>
      </c>
      <c r="AC23" s="10"/>
      <c r="AD23" s="10"/>
      <c r="AE23" s="10"/>
      <c r="AF23" s="11"/>
    </row>
    <row r="24" spans="2:32" ht="20.100000000000001" customHeight="1" x14ac:dyDescent="0.3">
      <c r="B24" s="7" t="s">
        <v>15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4"/>
      <c r="O24" s="14"/>
      <c r="P24" s="14"/>
      <c r="Q24" s="14"/>
      <c r="R24" s="14"/>
      <c r="S24" s="10">
        <f>SUM(S17:W23)</f>
        <v>150000</v>
      </c>
      <c r="T24" s="10"/>
      <c r="U24" s="10"/>
      <c r="V24" s="10"/>
      <c r="W24" s="10"/>
      <c r="X24" s="10">
        <f>S24*0.1</f>
        <v>15000</v>
      </c>
      <c r="Y24" s="10"/>
      <c r="Z24" s="10"/>
      <c r="AA24" s="10"/>
      <c r="AB24" s="10">
        <f>S24+X24</f>
        <v>165000</v>
      </c>
      <c r="AC24" s="10"/>
      <c r="AD24" s="10"/>
      <c r="AE24" s="10"/>
      <c r="AF24" s="11"/>
    </row>
    <row r="25" spans="2:32" ht="20.100000000000001" customHeight="1" x14ac:dyDescent="0.3">
      <c r="B25" s="37" t="s">
        <v>3</v>
      </c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9"/>
    </row>
    <row r="26" spans="2:32" ht="36" customHeight="1" thickBot="1" x14ac:dyDescent="0.35">
      <c r="B26" s="40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2"/>
    </row>
  </sheetData>
  <mergeCells count="74">
    <mergeCell ref="C2:AF5"/>
    <mergeCell ref="B25:AF26"/>
    <mergeCell ref="C7:S7"/>
    <mergeCell ref="T6:W6"/>
    <mergeCell ref="T7:W7"/>
    <mergeCell ref="X6:AF6"/>
    <mergeCell ref="B2:B5"/>
    <mergeCell ref="C6:S6"/>
    <mergeCell ref="C11:AF11"/>
    <mergeCell ref="C14:AF14"/>
    <mergeCell ref="C17:K17"/>
    <mergeCell ref="B9:B14"/>
    <mergeCell ref="L16:M16"/>
    <mergeCell ref="C16:K16"/>
    <mergeCell ref="X16:AA16"/>
    <mergeCell ref="AB16:AF16"/>
    <mergeCell ref="N16:R16"/>
    <mergeCell ref="S16:W16"/>
    <mergeCell ref="X7:AF7"/>
    <mergeCell ref="C10:AF10"/>
    <mergeCell ref="C8:AF8"/>
    <mergeCell ref="C9:AF9"/>
    <mergeCell ref="C12:AF12"/>
    <mergeCell ref="C13:AF13"/>
    <mergeCell ref="S15:W15"/>
    <mergeCell ref="X15:AF15"/>
    <mergeCell ref="C15:R15"/>
    <mergeCell ref="AB17:AF17"/>
    <mergeCell ref="X18:AA18"/>
    <mergeCell ref="AB18:AF18"/>
    <mergeCell ref="C19:K19"/>
    <mergeCell ref="L19:M19"/>
    <mergeCell ref="N19:R19"/>
    <mergeCell ref="S19:W19"/>
    <mergeCell ref="X19:AA19"/>
    <mergeCell ref="AB19:AF19"/>
    <mergeCell ref="C18:K18"/>
    <mergeCell ref="L18:M18"/>
    <mergeCell ref="N18:R18"/>
    <mergeCell ref="S18:W18"/>
    <mergeCell ref="S22:W22"/>
    <mergeCell ref="X22:AA22"/>
    <mergeCell ref="L17:M17"/>
    <mergeCell ref="N17:R17"/>
    <mergeCell ref="S17:W17"/>
    <mergeCell ref="X17:AA17"/>
    <mergeCell ref="AB22:AF22"/>
    <mergeCell ref="AB20:AF20"/>
    <mergeCell ref="C21:K21"/>
    <mergeCell ref="L21:M21"/>
    <mergeCell ref="N21:R21"/>
    <mergeCell ref="S21:W21"/>
    <mergeCell ref="X21:AA21"/>
    <mergeCell ref="AB21:AF21"/>
    <mergeCell ref="C20:K20"/>
    <mergeCell ref="L20:M20"/>
    <mergeCell ref="N20:R20"/>
    <mergeCell ref="S20:W20"/>
    <mergeCell ref="X20:AA20"/>
    <mergeCell ref="C22:K22"/>
    <mergeCell ref="L22:M22"/>
    <mergeCell ref="N22:R22"/>
    <mergeCell ref="AB23:AF23"/>
    <mergeCell ref="AB24:AF24"/>
    <mergeCell ref="C23:K23"/>
    <mergeCell ref="L23:M23"/>
    <mergeCell ref="N23:R23"/>
    <mergeCell ref="S23:W23"/>
    <mergeCell ref="X23:AA23"/>
    <mergeCell ref="C24:K24"/>
    <mergeCell ref="L24:M24"/>
    <mergeCell ref="N24:R24"/>
    <mergeCell ref="S24:W24"/>
    <mergeCell ref="X24:AA24"/>
  </mergeCells>
  <phoneticPr fontId="1" type="noConversion"/>
  <pageMargins left="0.31496062992125984" right="0.23" top="0.86614173228346458" bottom="0.59055118110236227" header="0.31496062992125984" footer="0.43307086614173229"/>
  <pageSetup paperSize="9" scale="97" orientation="portrait" r:id="rId1"/>
  <headerFooter scaleWithDoc="0">
    <oddFooter xml:space="preserve">&amp;L&amp;8(주)대지에스텍&amp;R&amp;8A4(210x297mm) &amp;10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U7"/>
  <sheetViews>
    <sheetView showGridLines="0" workbookViewId="0"/>
  </sheetViews>
  <sheetFormatPr defaultRowHeight="16.5" x14ac:dyDescent="0.3"/>
  <sheetData>
    <row r="7" spans="21:21" x14ac:dyDescent="0.3">
      <c r="U7" s="9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지출결의서</vt:lpstr>
      <vt:lpstr>전자세금계산서</vt:lpstr>
      <vt:lpstr>지출결의서!Print_Area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psh</cp:lastModifiedBy>
  <cp:lastPrinted>2022-12-05T06:23:19Z</cp:lastPrinted>
  <dcterms:created xsi:type="dcterms:W3CDTF">2011-09-30T23:45:07Z</dcterms:created>
  <dcterms:modified xsi:type="dcterms:W3CDTF">2023-10-17T01:13:49Z</dcterms:modified>
</cp:coreProperties>
</file>